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yc\Documents\GitHub\cad\Andy Hand Deisgn\Fab_hand\"/>
    </mc:Choice>
  </mc:AlternateContent>
  <xr:revisionPtr revIDLastSave="0" documentId="13_ncr:2001_{FC07C789-8B9F-43EE-AF1F-B766BFDC25F0}" xr6:coauthVersionLast="47" xr6:coauthVersionMax="47" xr10:uidLastSave="{00000000-0000-0000-0000-000000000000}"/>
  <bookViews>
    <workbookView xWindow="3552" yWindow="3552" windowWidth="23040" windowHeight="12120" xr2:uid="{56394538-C017-4FC2-AA3B-24CCEFB4D366}"/>
  </bookViews>
  <sheets>
    <sheet name="Table4" sheetId="3" r:id="rId1"/>
    <sheet name="Sheet1" sheetId="1" r:id="rId2"/>
  </sheets>
  <definedNames>
    <definedName name="ExternalData_1" localSheetId="0" hidden="1">Table4!$A$1:$B$73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" i="3" l="1"/>
  <c r="I10" i="3"/>
  <c r="I9" i="3"/>
  <c r="I8" i="3"/>
  <c r="I31" i="3"/>
  <c r="I30" i="3"/>
  <c r="I32" i="3" s="1"/>
  <c r="I33" i="3" s="1"/>
  <c r="N26" i="3"/>
  <c r="N25" i="3"/>
  <c r="N15" i="3"/>
  <c r="N14" i="3"/>
  <c r="N4" i="3"/>
  <c r="N3" i="3"/>
  <c r="G6" i="3" a="1"/>
  <c r="G6" i="3" s="1"/>
  <c r="G5" i="3" a="1"/>
  <c r="G5" i="3" s="1"/>
  <c r="G4" i="3" a="1"/>
  <c r="G4" i="3" s="1"/>
  <c r="G3" i="3" a="1"/>
  <c r="G3" i="3" s="1"/>
  <c r="G17" i="3" a="1"/>
  <c r="G17" i="3" s="1"/>
  <c r="G16" i="3" a="1"/>
  <c r="G16" i="3" s="1"/>
  <c r="G15" i="3" a="1"/>
  <c r="G15" i="3" s="1"/>
  <c r="G14" i="3" a="1"/>
  <c r="G14" i="3" s="1"/>
  <c r="G28" i="3" a="1"/>
  <c r="G28" i="3" s="1"/>
  <c r="G27" i="3" a="1"/>
  <c r="G27" i="3" s="1"/>
  <c r="G26" i="3" a="1"/>
  <c r="G26" i="3" s="1"/>
  <c r="G25" i="3" a="1"/>
  <c r="G25" i="3" s="1"/>
  <c r="K3" i="1" a="1"/>
  <c r="K3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DCA825A-E516-4169-98B0-4BBB66903E38}" keepAlive="1" name="Query - Table1" description="Connection to the 'Table1' query in the workbook." type="5" refreshedVersion="0" background="1">
    <dbPr connection="Provider=Microsoft.Mashup.OleDb.1;Data Source=$Workbook$;Location=Table1;Extended Properties=&quot;&quot;" command="SELECT * FROM [Table1]"/>
  </connection>
  <connection id="2" xr16:uid="{CF2F544C-8D74-4C3A-A4C4-9AF96E4CF298}" keepAlive="1" name="Query - Table4" description="Connection to the 'Table4' query in the workbook." type="5" refreshedVersion="8" background="1" saveData="1">
    <dbPr connection="Provider=Microsoft.Mashup.OleDb.1;Data Source=$Workbook$;Location=Table4;Extended Properties=&quot;&quot;" command="SELECT * FROM [Table4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<sst xmlns="http://schemas.openxmlformats.org/spreadsheetml/2006/main" count="747" uniqueCount="60">
  <si>
    <t>Type</t>
  </si>
  <si>
    <t>Resultant</t>
  </si>
  <si>
    <t>Connector</t>
  </si>
  <si>
    <t>Shear</t>
  </si>
  <si>
    <t>Axial</t>
  </si>
  <si>
    <t>Force</t>
  </si>
  <si>
    <t>(lbf)</t>
  </si>
  <si>
    <t>Pin</t>
  </si>
  <si>
    <t>Connector-1</t>
  </si>
  <si>
    <t>Joint</t>
  </si>
  <si>
    <t>Bending</t>
  </si>
  <si>
    <t>moment</t>
  </si>
  <si>
    <t>(lbf.in)</t>
  </si>
  <si>
    <t>Torque</t>
  </si>
  <si>
    <t>Connector-3</t>
  </si>
  <si>
    <t>Connector-4</t>
  </si>
  <si>
    <t>Connector-5</t>
  </si>
  <si>
    <t>Connector-6</t>
  </si>
  <si>
    <t>Connector-7</t>
  </si>
  <si>
    <t>Connector-8</t>
  </si>
  <si>
    <t>MAX:</t>
  </si>
  <si>
    <t>Column1</t>
  </si>
  <si>
    <t>Column2</t>
  </si>
  <si>
    <t>Column3</t>
  </si>
  <si>
    <t>Merged</t>
  </si>
  <si>
    <t>Column4</t>
  </si>
  <si>
    <t>Column5</t>
  </si>
  <si>
    <t>Shear Force</t>
  </si>
  <si>
    <t>Pin Connector-1</t>
  </si>
  <si>
    <t>Joint 1</t>
  </si>
  <si>
    <t>Axial Force</t>
  </si>
  <si>
    <t>Bending moment</t>
  </si>
  <si>
    <t xml:space="preserve">Torque </t>
  </si>
  <si>
    <t>Joint 2</t>
  </si>
  <si>
    <t>Joint 3</t>
  </si>
  <si>
    <t>Pin Connector-3</t>
  </si>
  <si>
    <t>Pin Connector-4</t>
  </si>
  <si>
    <t>Pin Connector-5</t>
  </si>
  <si>
    <t>Pin Connector-6</t>
  </si>
  <si>
    <t>Pin Connector-7</t>
  </si>
  <si>
    <t>Pin Connector-8</t>
  </si>
  <si>
    <t>Unit</t>
  </si>
  <si>
    <t>#</t>
  </si>
  <si>
    <t>Connnector</t>
  </si>
  <si>
    <t>MAX PIN:</t>
  </si>
  <si>
    <t>MAX SHAFT:</t>
  </si>
  <si>
    <t>MAX SCREW:</t>
  </si>
  <si>
    <t>(N)</t>
  </si>
  <si>
    <t>Psi</t>
  </si>
  <si>
    <t xml:space="preserve">Von Mises = </t>
  </si>
  <si>
    <t>(32M)/(piD^3)</t>
  </si>
  <si>
    <t>(16*V)/(3*pi*D^2)</t>
  </si>
  <si>
    <t xml:space="preserve">Shear Stress = </t>
  </si>
  <si>
    <t>Bending Normal Stress =</t>
  </si>
  <si>
    <t>sqrt(BNS^2 + 3*SS^2)</t>
  </si>
  <si>
    <t>FOS =</t>
  </si>
  <si>
    <t>Yield Stress / VM</t>
  </si>
  <si>
    <t>Doube Shear =</t>
  </si>
  <si>
    <t>(2*V)/(pi*D^2)</t>
  </si>
  <si>
    <t>(32*M)/(pi*D^3)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</si>
</sst>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rial"/>
      <family val="2"/>
    </font>
    <font>
      <sz val="11"/>
      <color theme="0"/>
      <name val="Arial"/>
      <family val="2"/>
    </font>
    <font>
      <sz val="11"/>
      <color theme="1"/>
      <name val="Arial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vertical="center"/>
    </xf>
    <xf numFmtId="11" fontId="0" fillId="0" borderId="0" xfId="0" applyNumberFormat="1"/>
    <xf numFmtId="0" fontId="3" fillId="0" borderId="0" xfId="0" applyFont="1" applyAlignment="1">
      <alignment vertical="center"/>
    </xf>
    <xf numFmtId="0" fontId="4" fillId="0" borderId="0" xfId="0" applyFont="1"/>
    <xf numFmtId="0" fontId="1" fillId="0" borderId="0" xfId="0" applyFont="1"/>
  </cellXfs>
  <cellStyles count="1"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29AF38C1-B6C3-49A3-A8FD-F2EADCEED12B}" autoFormatId="16" applyNumberFormats="0" applyBorderFormats="0" applyFontFormats="0" applyPatternFormats="0" applyAlignmentFormats="0" applyWidthHeightFormats="0">
  <queryTableRefresh nextId="6" unboundColumnsRight="3">
    <queryTableFields count="5">
      <queryTableField id="1" name="Merged" tableColumnId="1"/>
      <queryTableField id="2" name="Merged.1" tableColumnId="2"/>
      <queryTableField id="3" dataBound="0" tableColumnId="3"/>
      <queryTableField id="4" dataBound="0" tableColumnId="4"/>
      <queryTableField id="5" dataBound="0" tableColumnId="5"/>
    </queryTableFields>
    <queryTableDeletedFields count="2">
      <deletedField name="Merged.2"/>
      <deletedField name="Merged.3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AFA0168-CDFA-4286-A7D1-49E905AF8CD5}" name="Table4_1" displayName="Table4_1" ref="A1:E73" tableType="queryTable" totalsRowShown="0">
  <autoFilter ref="A1:E73" xr:uid="{5AFA0168-CDFA-4286-A7D1-49E905AF8CD5}"/>
  <tableColumns count="5">
    <tableColumn id="1" xr3:uid="{2075A080-0164-4635-BECE-C8CCB6895FCA}" uniqueName="1" name="Merged" queryTableFieldId="1" dataDxfId="5"/>
    <tableColumn id="2" xr3:uid="{B63DF6C4-5180-43EE-BF9C-DFC032CBF38E}" uniqueName="2" name="Unit" queryTableFieldId="2" dataDxfId="4"/>
    <tableColumn id="3" xr3:uid="{30DE0221-A446-4BEB-A2C3-BC7995E68A1C}" uniqueName="3" name="#" queryTableFieldId="3" dataDxfId="3"/>
    <tableColumn id="4" xr3:uid="{C7239242-8422-4E19-BB6B-4E0E62217462}" uniqueName="4" name="Connnector" queryTableFieldId="4" dataDxfId="2"/>
    <tableColumn id="5" xr3:uid="{F89A267A-B5E8-4FB6-856F-5005BAA09E77}" uniqueName="5" name="Joint" queryTableFieldId="5" dataDxfId="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2E5079D-A3B3-43FA-853B-80C19330E219}" name="Table4" displayName="Table4" ref="A1:H73" totalsRowShown="0">
  <autoFilter ref="A1:H73" xr:uid="{02E5079D-A3B3-43FA-853B-80C19330E219}"/>
  <tableColumns count="8">
    <tableColumn id="1" xr3:uid="{BE8B226C-1937-4521-82C5-8E1B77165DA7}" name="Type" dataDxfId="0"/>
    <tableColumn id="2" xr3:uid="{326FCE08-B08F-4C12-85EB-6A8868B32E28}" name="Column1"/>
    <tableColumn id="3" xr3:uid="{C2427AD6-BC19-464F-8454-54EE2FF468BC}" name="Resultant"/>
    <tableColumn id="4" xr3:uid="{9372A7EA-0EFD-4431-A66D-9C697E1BD4D4}" name="Column2"/>
    <tableColumn id="5" xr3:uid="{E9194066-0F4A-465A-A5A8-C92F4462A2E0}" name="Connector"/>
    <tableColumn id="6" xr3:uid="{EA31C189-7D1B-4D4E-9693-416718E29EE7}" name="Column3"/>
    <tableColumn id="7" xr3:uid="{7900653B-48E7-40A5-B42C-1881A8C0FF4F}" name="Column4"/>
    <tableColumn id="8" xr3:uid="{111355A5-0B98-45EB-8247-967E74850CB2}" name="Column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DBE8B-0AC7-4CB0-BD68-2FACA488E14B}">
  <dimension ref="A1:N73"/>
  <sheetViews>
    <sheetView tabSelected="1" workbookViewId="0">
      <selection activeCell="I11" sqref="I11"/>
    </sheetView>
  </sheetViews>
  <sheetFormatPr defaultRowHeight="14.4" x14ac:dyDescent="0.3"/>
  <cols>
    <col min="1" max="1" width="14.5546875" bestFit="1" customWidth="1"/>
    <col min="2" max="2" width="6.6640625" bestFit="1" customWidth="1"/>
    <col min="3" max="3" width="8.88671875" bestFit="1" customWidth="1"/>
    <col min="4" max="4" width="14.109375" bestFit="1" customWidth="1"/>
    <col min="5" max="5" width="7.109375" bestFit="1" customWidth="1"/>
    <col min="7" max="7" width="20.6640625" bestFit="1" customWidth="1"/>
    <col min="8" max="8" width="18.5546875" bestFit="1" customWidth="1"/>
    <col min="9" max="9" width="12" bestFit="1" customWidth="1"/>
    <col min="10" max="10" width="14.109375" bestFit="1" customWidth="1"/>
    <col min="11" max="11" width="6" bestFit="1" customWidth="1"/>
  </cols>
  <sheetData>
    <row r="1" spans="1:14" x14ac:dyDescent="0.3">
      <c r="A1" t="s">
        <v>24</v>
      </c>
      <c r="B1" t="s">
        <v>41</v>
      </c>
      <c r="C1" t="s">
        <v>42</v>
      </c>
      <c r="D1" t="s">
        <v>43</v>
      </c>
      <c r="E1" t="s">
        <v>9</v>
      </c>
    </row>
    <row r="2" spans="1:14" x14ac:dyDescent="0.3">
      <c r="A2" t="s">
        <v>27</v>
      </c>
      <c r="B2" t="s">
        <v>6</v>
      </c>
      <c r="C2">
        <v>8.4466000000000001</v>
      </c>
      <c r="D2" t="s">
        <v>28</v>
      </c>
      <c r="E2" t="s">
        <v>29</v>
      </c>
      <c r="G2" s="5" t="s">
        <v>44</v>
      </c>
    </row>
    <row r="3" spans="1:14" x14ac:dyDescent="0.3">
      <c r="A3" t="s">
        <v>30</v>
      </c>
      <c r="B3" t="s">
        <v>6</v>
      </c>
      <c r="C3">
        <v>0.18961</v>
      </c>
      <c r="D3" t="s">
        <v>28</v>
      </c>
      <c r="E3" t="s">
        <v>29</v>
      </c>
      <c r="G3" t="str" cm="1">
        <f t="array" ref="G3:K3" xml:space="preserve"> _xlfn.XLOOKUP(_xlfn.MAXIFS(C2:C26:C44:C53, A2:A26:A44:A53, "Axial Force"),C2:C26:C44:C53,A2:E26:A44:E53)</f>
        <v>Axial Force</v>
      </c>
      <c r="H3" t="str">
        <v>(lbf)</v>
      </c>
      <c r="I3">
        <v>1.8559000000000001</v>
      </c>
      <c r="J3" t="str">
        <v>Pin Connector-5</v>
      </c>
      <c r="K3" t="str">
        <v>Joint 1</v>
      </c>
      <c r="M3" t="s">
        <v>47</v>
      </c>
      <c r="N3">
        <f>I3*4.448</f>
        <v>8.2550432000000011</v>
      </c>
    </row>
    <row r="4" spans="1:14" x14ac:dyDescent="0.3">
      <c r="A4" t="s">
        <v>31</v>
      </c>
      <c r="B4" t="s">
        <v>12</v>
      </c>
      <c r="C4">
        <v>0.68944000000000005</v>
      </c>
      <c r="D4" t="s">
        <v>28</v>
      </c>
      <c r="E4" t="s">
        <v>29</v>
      </c>
      <c r="G4" t="str" cm="1">
        <f t="array" ref="G4:K4" xml:space="preserve"> _xlfn.XLOOKUP(_xlfn.MAXIFS(C2:C26:C44:C53, A2:A26:A44:A53, "Shear Force"),C2:C26:C44:C53,A2:E26:A44:E53)</f>
        <v>Shear Force</v>
      </c>
      <c r="H4" t="str">
        <v>(lbf)</v>
      </c>
      <c r="I4">
        <v>34.825000000000003</v>
      </c>
      <c r="J4" t="str">
        <v>Pin Connector-1</v>
      </c>
      <c r="K4" t="str">
        <v>Joint 2</v>
      </c>
      <c r="M4" t="s">
        <v>47</v>
      </c>
      <c r="N4">
        <f>I4*4.448</f>
        <v>154.90160000000003</v>
      </c>
    </row>
    <row r="5" spans="1:14" x14ac:dyDescent="0.3">
      <c r="A5" t="s">
        <v>32</v>
      </c>
      <c r="B5" t="s">
        <v>12</v>
      </c>
      <c r="C5" s="2">
        <v>-3.8407E-11</v>
      </c>
      <c r="D5" t="s">
        <v>28</v>
      </c>
      <c r="E5" t="s">
        <v>29</v>
      </c>
      <c r="G5" t="str" cm="1">
        <f t="array" ref="G5:K5" xml:space="preserve"> _xlfn.XLOOKUP(_xlfn.MAXIFS(C2:C26:C44:C53, A2:A26:A44:A53, "Bending moment"),C2:C26:C44:C53,A2:E26:A44:E53)</f>
        <v>Bending moment</v>
      </c>
      <c r="H5" t="str">
        <v>(lbf.in)</v>
      </c>
      <c r="I5">
        <v>7.1734</v>
      </c>
      <c r="J5" t="str">
        <v>Pin Connector-1</v>
      </c>
      <c r="K5" t="str">
        <v>Joint 2</v>
      </c>
    </row>
    <row r="6" spans="1:14" x14ac:dyDescent="0.3">
      <c r="A6" t="s">
        <v>27</v>
      </c>
      <c r="B6" t="s">
        <v>6</v>
      </c>
      <c r="C6">
        <v>34.825000000000003</v>
      </c>
      <c r="D6" t="s">
        <v>28</v>
      </c>
      <c r="E6" t="s">
        <v>33</v>
      </c>
      <c r="G6" t="str" cm="1">
        <f t="array" ref="G6:K6" xml:space="preserve"> _xlfn.XLOOKUP(_xlfn.MAXIFS(C2:C26:C44:C53, A2:A26:A44:A53, "Torque "),C2:C26:C44:C53,A2:E26:A44:E53)</f>
        <v xml:space="preserve">Torque </v>
      </c>
      <c r="H6" t="str">
        <v>(lbf.in)</v>
      </c>
      <c r="I6">
        <v>4.2482000000000003E-11</v>
      </c>
      <c r="J6" t="str">
        <v>Pin Connector-6</v>
      </c>
      <c r="K6" t="str">
        <v>Joint 2</v>
      </c>
    </row>
    <row r="7" spans="1:14" x14ac:dyDescent="0.3">
      <c r="A7" t="s">
        <v>30</v>
      </c>
      <c r="B7" t="s">
        <v>6</v>
      </c>
      <c r="C7">
        <v>1.2361</v>
      </c>
      <c r="D7" t="s">
        <v>28</v>
      </c>
      <c r="E7" t="s">
        <v>33</v>
      </c>
    </row>
    <row r="8" spans="1:14" x14ac:dyDescent="0.3">
      <c r="A8" t="s">
        <v>31</v>
      </c>
      <c r="B8" t="s">
        <v>12</v>
      </c>
      <c r="C8">
        <v>7.1734</v>
      </c>
      <c r="D8" t="s">
        <v>28</v>
      </c>
      <c r="E8" t="s">
        <v>33</v>
      </c>
      <c r="G8" t="s">
        <v>53</v>
      </c>
      <c r="H8" t="s">
        <v>59</v>
      </c>
      <c r="I8">
        <f>(32*I5)/(PI()*(0.0787)^3)</f>
        <v>149899.7667255858</v>
      </c>
      <c r="J8" t="s">
        <v>48</v>
      </c>
    </row>
    <row r="9" spans="1:14" x14ac:dyDescent="0.3">
      <c r="A9" t="s">
        <v>32</v>
      </c>
      <c r="B9" t="s">
        <v>12</v>
      </c>
      <c r="C9" s="2">
        <v>-7.7394999999999995E-11</v>
      </c>
      <c r="D9" t="s">
        <v>28</v>
      </c>
      <c r="E9" t="s">
        <v>33</v>
      </c>
      <c r="G9" t="s">
        <v>57</v>
      </c>
      <c r="H9" t="s">
        <v>58</v>
      </c>
      <c r="I9">
        <f>(2*I4)/(PI()*(0.0787)^2)</f>
        <v>3579.495191509588</v>
      </c>
      <c r="J9" t="s">
        <v>48</v>
      </c>
    </row>
    <row r="10" spans="1:14" x14ac:dyDescent="0.3">
      <c r="A10" t="s">
        <v>27</v>
      </c>
      <c r="B10" t="s">
        <v>6</v>
      </c>
      <c r="C10">
        <v>34.825000000000003</v>
      </c>
      <c r="D10" t="s">
        <v>28</v>
      </c>
      <c r="E10" t="s">
        <v>34</v>
      </c>
      <c r="G10" t="s">
        <v>49</v>
      </c>
      <c r="H10" t="s">
        <v>54</v>
      </c>
      <c r="I10">
        <f>SQRT(I8^2+3*(I9)^2)</f>
        <v>150027.92547343698</v>
      </c>
      <c r="J10" t="s">
        <v>48</v>
      </c>
    </row>
    <row r="11" spans="1:14" x14ac:dyDescent="0.3">
      <c r="A11" t="s">
        <v>30</v>
      </c>
      <c r="B11" t="s">
        <v>6</v>
      </c>
      <c r="C11">
        <v>-1.2361</v>
      </c>
      <c r="D11" t="s">
        <v>28</v>
      </c>
      <c r="E11" t="s">
        <v>34</v>
      </c>
      <c r="G11" t="s">
        <v>55</v>
      </c>
      <c r="H11" t="s">
        <v>56</v>
      </c>
      <c r="I11">
        <f>1/I10</f>
        <v>6.6654257655322568E-6</v>
      </c>
    </row>
    <row r="12" spans="1:14" x14ac:dyDescent="0.3">
      <c r="A12" t="s">
        <v>31</v>
      </c>
      <c r="B12" t="s">
        <v>12</v>
      </c>
      <c r="C12">
        <v>1.0758000000000001</v>
      </c>
      <c r="D12" t="s">
        <v>28</v>
      </c>
      <c r="E12" t="s">
        <v>34</v>
      </c>
    </row>
    <row r="13" spans="1:14" x14ac:dyDescent="0.3">
      <c r="A13" t="s">
        <v>32</v>
      </c>
      <c r="B13" t="s">
        <v>12</v>
      </c>
      <c r="C13" s="2">
        <v>-3.7355999999999999E-11</v>
      </c>
      <c r="D13" t="s">
        <v>28</v>
      </c>
      <c r="E13" t="s">
        <v>34</v>
      </c>
      <c r="G13" s="5" t="s">
        <v>46</v>
      </c>
    </row>
    <row r="14" spans="1:14" x14ac:dyDescent="0.3">
      <c r="A14" t="s">
        <v>27</v>
      </c>
      <c r="B14" t="s">
        <v>6</v>
      </c>
      <c r="C14">
        <v>10.833</v>
      </c>
      <c r="D14" t="s">
        <v>35</v>
      </c>
      <c r="E14" t="s">
        <v>29</v>
      </c>
      <c r="G14" t="str" cm="1">
        <f t="array" ref="G14:K14" xml:space="preserve"> _xlfn.XLOOKUP(_xlfn.MAXIFS(C26:C44, A26:A44, "Axial Force"),C26:C44,A26:E44)</f>
        <v>Axial Force</v>
      </c>
      <c r="H14" t="str">
        <v>(lbf)</v>
      </c>
      <c r="I14">
        <v>1.8559000000000001</v>
      </c>
      <c r="J14" t="str">
        <v>Pin Connector-5</v>
      </c>
      <c r="K14" t="str">
        <v>Joint 1</v>
      </c>
      <c r="M14" t="s">
        <v>47</v>
      </c>
      <c r="N14">
        <f>I14*4.448</f>
        <v>8.2550432000000011</v>
      </c>
    </row>
    <row r="15" spans="1:14" x14ac:dyDescent="0.3">
      <c r="A15" t="s">
        <v>30</v>
      </c>
      <c r="B15" t="s">
        <v>6</v>
      </c>
      <c r="C15">
        <v>-1.8895</v>
      </c>
      <c r="D15" t="s">
        <v>35</v>
      </c>
      <c r="E15" t="s">
        <v>29</v>
      </c>
      <c r="G15" t="str" cm="1">
        <f t="array" ref="G15:K15" xml:space="preserve"> _xlfn.XLOOKUP(_xlfn.MAXIFS(C26:C44, A26:A44, "Shear Force"),C26:C44,A26:E44)</f>
        <v>Shear Force</v>
      </c>
      <c r="H15" t="str">
        <v>(lbf)</v>
      </c>
      <c r="I15">
        <v>20.405000000000001</v>
      </c>
      <c r="J15" t="str">
        <v>Pin Connector-4</v>
      </c>
      <c r="K15" t="str">
        <v>Joint 2</v>
      </c>
      <c r="M15" t="s">
        <v>47</v>
      </c>
      <c r="N15">
        <f>I15*4.448</f>
        <v>90.761440000000007</v>
      </c>
    </row>
    <row r="16" spans="1:14" x14ac:dyDescent="0.3">
      <c r="A16" t="s">
        <v>31</v>
      </c>
      <c r="B16" t="s">
        <v>12</v>
      </c>
      <c r="C16">
        <v>7.4079999999999896E-2</v>
      </c>
      <c r="D16" t="s">
        <v>35</v>
      </c>
      <c r="E16" t="s">
        <v>29</v>
      </c>
      <c r="G16" t="str" cm="1">
        <f t="array" ref="G16:K16" xml:space="preserve"> _xlfn.XLOOKUP(_xlfn.MAXIFS(C26:C44, A26:A44, "Bending moment"),C26:C44,A26:E44)</f>
        <v>Bending moment</v>
      </c>
      <c r="H16" t="str">
        <v>(lbf.in)</v>
      </c>
      <c r="I16">
        <v>3.8658999999999999</v>
      </c>
      <c r="J16" t="str">
        <v>Pin Connector-4</v>
      </c>
      <c r="K16" t="str">
        <v>Joint 2</v>
      </c>
    </row>
    <row r="17" spans="1:14" x14ac:dyDescent="0.3">
      <c r="A17" t="s">
        <v>32</v>
      </c>
      <c r="B17" t="s">
        <v>12</v>
      </c>
      <c r="C17" s="2">
        <v>4.9308E-12</v>
      </c>
      <c r="D17" t="s">
        <v>35</v>
      </c>
      <c r="E17" t="s">
        <v>29</v>
      </c>
      <c r="G17" t="str" cm="1">
        <f t="array" ref="G17:K17" xml:space="preserve"> _xlfn.XLOOKUP(_xlfn.MAXIFS(C26:C44, A26:A44, "Torque "),C26:C44,A26:E44)</f>
        <v xml:space="preserve">Torque </v>
      </c>
      <c r="H17" t="str">
        <v>(lbf.in)</v>
      </c>
      <c r="I17">
        <v>3.2433000000000001E-12</v>
      </c>
      <c r="J17" t="str">
        <v>Pin Connector-4</v>
      </c>
      <c r="K17" t="str">
        <v>Joint 3</v>
      </c>
    </row>
    <row r="18" spans="1:14" x14ac:dyDescent="0.3">
      <c r="A18" t="s">
        <v>27</v>
      </c>
      <c r="B18" t="s">
        <v>6</v>
      </c>
      <c r="C18">
        <v>11.114000000000001</v>
      </c>
      <c r="D18" t="s">
        <v>35</v>
      </c>
      <c r="E18" t="s">
        <v>33</v>
      </c>
    </row>
    <row r="19" spans="1:14" x14ac:dyDescent="0.3">
      <c r="A19" t="s">
        <v>30</v>
      </c>
      <c r="B19" t="s">
        <v>6</v>
      </c>
      <c r="C19">
        <v>-1.08</v>
      </c>
      <c r="D19" t="s">
        <v>35</v>
      </c>
      <c r="E19" t="s">
        <v>33</v>
      </c>
    </row>
    <row r="20" spans="1:14" x14ac:dyDescent="0.3">
      <c r="A20" t="s">
        <v>31</v>
      </c>
      <c r="B20" t="s">
        <v>12</v>
      </c>
      <c r="C20">
        <v>1.9839</v>
      </c>
      <c r="D20" t="s">
        <v>35</v>
      </c>
      <c r="E20" t="s">
        <v>33</v>
      </c>
    </row>
    <row r="21" spans="1:14" x14ac:dyDescent="0.3">
      <c r="A21" t="s">
        <v>32</v>
      </c>
      <c r="B21" t="s">
        <v>12</v>
      </c>
      <c r="C21" s="2">
        <v>3.0917999999999997E-11</v>
      </c>
      <c r="D21" t="s">
        <v>35</v>
      </c>
      <c r="E21" t="s">
        <v>33</v>
      </c>
    </row>
    <row r="22" spans="1:14" x14ac:dyDescent="0.3">
      <c r="A22" t="s">
        <v>27</v>
      </c>
      <c r="B22" t="s">
        <v>6</v>
      </c>
      <c r="C22">
        <v>11.114000000000001</v>
      </c>
      <c r="D22" t="s">
        <v>35</v>
      </c>
      <c r="E22" t="s">
        <v>34</v>
      </c>
    </row>
    <row r="23" spans="1:14" x14ac:dyDescent="0.3">
      <c r="A23" t="s">
        <v>30</v>
      </c>
      <c r="B23" t="s">
        <v>6</v>
      </c>
      <c r="C23">
        <v>1.08</v>
      </c>
      <c r="D23" t="s">
        <v>35</v>
      </c>
      <c r="E23" t="s">
        <v>34</v>
      </c>
    </row>
    <row r="24" spans="1:14" x14ac:dyDescent="0.3">
      <c r="A24" t="s">
        <v>31</v>
      </c>
      <c r="B24" t="s">
        <v>12</v>
      </c>
      <c r="C24">
        <v>0.34658</v>
      </c>
      <c r="D24" t="s">
        <v>35</v>
      </c>
      <c r="E24" t="s">
        <v>34</v>
      </c>
      <c r="G24" s="5" t="s">
        <v>45</v>
      </c>
    </row>
    <row r="25" spans="1:14" x14ac:dyDescent="0.3">
      <c r="A25" t="s">
        <v>32</v>
      </c>
      <c r="B25" t="s">
        <v>12</v>
      </c>
      <c r="C25" s="2">
        <v>5.5545999999999998E-12</v>
      </c>
      <c r="D25" t="s">
        <v>35</v>
      </c>
      <c r="E25" t="s">
        <v>34</v>
      </c>
      <c r="G25" t="str" cm="1">
        <f t="array" ref="G25:K25" xml:space="preserve"> _xlfn.XLOOKUP(_xlfn.MAXIFS(C53:C73, A53:A73, "Axial Force"),C53:C73,A53:E73)</f>
        <v>Axial Force</v>
      </c>
      <c r="H25" t="str">
        <v>(lbf)</v>
      </c>
      <c r="I25">
        <v>1.8559000000000001</v>
      </c>
      <c r="J25" t="str">
        <v>Pin Connector-8</v>
      </c>
      <c r="K25" t="str">
        <v>Joint 1</v>
      </c>
      <c r="M25" t="s">
        <v>47</v>
      </c>
      <c r="N25">
        <f>I25*4.448</f>
        <v>8.2550432000000011</v>
      </c>
    </row>
    <row r="26" spans="1:14" x14ac:dyDescent="0.3">
      <c r="A26" t="s">
        <v>27</v>
      </c>
      <c r="B26" t="s">
        <v>6</v>
      </c>
      <c r="C26">
        <v>10.771000000000001</v>
      </c>
      <c r="D26" t="s">
        <v>36</v>
      </c>
      <c r="E26" t="s">
        <v>29</v>
      </c>
      <c r="G26" t="str" cm="1">
        <f t="array" ref="G26:K26" xml:space="preserve"> _xlfn.XLOOKUP(_xlfn.MAXIFS(C53:C73, A53:A73, "Shear Force"),C53:C73,A53:E73)</f>
        <v>Shear Force</v>
      </c>
      <c r="H26" t="str">
        <v>(lbf)</v>
      </c>
      <c r="I26">
        <v>117.72</v>
      </c>
      <c r="J26" t="str">
        <v>Pin Connector-8</v>
      </c>
      <c r="K26" t="str">
        <v>Joint 1</v>
      </c>
      <c r="M26" t="s">
        <v>47</v>
      </c>
      <c r="N26">
        <f>I26*4.448</f>
        <v>523.61856</v>
      </c>
    </row>
    <row r="27" spans="1:14" x14ac:dyDescent="0.3">
      <c r="A27" t="s">
        <v>30</v>
      </c>
      <c r="B27" t="s">
        <v>6</v>
      </c>
      <c r="C27">
        <v>1.5063</v>
      </c>
      <c r="D27" t="s">
        <v>36</v>
      </c>
      <c r="E27" t="s">
        <v>29</v>
      </c>
      <c r="G27" t="str" cm="1">
        <f t="array" ref="G27:K27" xml:space="preserve"> _xlfn.XLOOKUP(_xlfn.MAXIFS(C53:C73, A53:A73, "Bending moment"),C53:C73,A53:E73)</f>
        <v>Bending moment</v>
      </c>
      <c r="H27" t="str">
        <v>(lbf.in)</v>
      </c>
      <c r="I27">
        <v>94.768000000000001</v>
      </c>
      <c r="J27" t="str">
        <v>Pin Connector-8</v>
      </c>
      <c r="K27" t="str">
        <v>Joint 2</v>
      </c>
    </row>
    <row r="28" spans="1:14" x14ac:dyDescent="0.3">
      <c r="A28" t="s">
        <v>31</v>
      </c>
      <c r="B28" t="s">
        <v>12</v>
      </c>
      <c r="C28">
        <v>0.26972000000000002</v>
      </c>
      <c r="D28" t="s">
        <v>36</v>
      </c>
      <c r="E28" t="s">
        <v>29</v>
      </c>
      <c r="G28" t="str" cm="1">
        <f t="array" ref="G28:K28" xml:space="preserve"> _xlfn.XLOOKUP(_xlfn.MAXIFS(C53:C73, A53:A73, "Torque "),C53:C73,A53:E73)</f>
        <v xml:space="preserve">Torque </v>
      </c>
      <c r="H28" t="str">
        <v>(lbf.in)</v>
      </c>
      <c r="I28">
        <v>1.5963E-10</v>
      </c>
      <c r="J28" t="str">
        <v>Pin Connector-8</v>
      </c>
      <c r="K28" t="str">
        <v>Joint 1</v>
      </c>
    </row>
    <row r="29" spans="1:14" x14ac:dyDescent="0.3">
      <c r="A29" t="s">
        <v>32</v>
      </c>
      <c r="B29" t="s">
        <v>12</v>
      </c>
      <c r="C29" s="2">
        <v>2.6559E-12</v>
      </c>
      <c r="D29" t="s">
        <v>36</v>
      </c>
      <c r="E29" t="s">
        <v>29</v>
      </c>
    </row>
    <row r="30" spans="1:14" x14ac:dyDescent="0.3">
      <c r="A30" t="s">
        <v>27</v>
      </c>
      <c r="B30" t="s">
        <v>6</v>
      </c>
      <c r="C30">
        <v>20.405000000000001</v>
      </c>
      <c r="D30" t="s">
        <v>36</v>
      </c>
      <c r="E30" t="s">
        <v>33</v>
      </c>
      <c r="G30" t="s">
        <v>53</v>
      </c>
      <c r="H30" t="s">
        <v>50</v>
      </c>
      <c r="I30">
        <f>(32*I27)/(PI()*(5/16)^3)</f>
        <v>31630.915056556289</v>
      </c>
      <c r="J30" t="s">
        <v>48</v>
      </c>
    </row>
    <row r="31" spans="1:14" x14ac:dyDescent="0.3">
      <c r="A31" t="s">
        <v>30</v>
      </c>
      <c r="B31" t="s">
        <v>6</v>
      </c>
      <c r="C31">
        <v>0.69686000000000003</v>
      </c>
      <c r="D31" t="s">
        <v>36</v>
      </c>
      <c r="E31" t="s">
        <v>33</v>
      </c>
      <c r="G31" t="s">
        <v>52</v>
      </c>
      <c r="H31" t="s">
        <v>51</v>
      </c>
      <c r="I31">
        <f>(16*I26)/(3*PI()*(5/16)^2)</f>
        <v>2046.4402323623028</v>
      </c>
      <c r="J31" t="s">
        <v>48</v>
      </c>
    </row>
    <row r="32" spans="1:14" x14ac:dyDescent="0.3">
      <c r="A32" t="s">
        <v>31</v>
      </c>
      <c r="B32" t="s">
        <v>12</v>
      </c>
      <c r="C32">
        <v>3.8658999999999999</v>
      </c>
      <c r="D32" t="s">
        <v>36</v>
      </c>
      <c r="E32" t="s">
        <v>33</v>
      </c>
      <c r="G32" t="s">
        <v>49</v>
      </c>
      <c r="H32" t="s">
        <v>54</v>
      </c>
      <c r="I32">
        <f>SQRT(I30^2+3*(I31)^2)</f>
        <v>31828.894737156246</v>
      </c>
      <c r="J32" t="s">
        <v>48</v>
      </c>
    </row>
    <row r="33" spans="1:9" x14ac:dyDescent="0.3">
      <c r="A33" t="s">
        <v>32</v>
      </c>
      <c r="B33" t="s">
        <v>12</v>
      </c>
      <c r="C33" s="2">
        <v>-2.4505E-11</v>
      </c>
      <c r="D33" t="s">
        <v>36</v>
      </c>
      <c r="E33" t="s">
        <v>33</v>
      </c>
      <c r="G33" t="s">
        <v>55</v>
      </c>
      <c r="H33" t="s">
        <v>56</v>
      </c>
      <c r="I33">
        <f>1/I32</f>
        <v>3.1417993249782099E-5</v>
      </c>
    </row>
    <row r="34" spans="1:9" x14ac:dyDescent="0.3">
      <c r="A34" t="s">
        <v>27</v>
      </c>
      <c r="B34" t="s">
        <v>6</v>
      </c>
      <c r="C34">
        <v>20.405000000000001</v>
      </c>
      <c r="D34" t="s">
        <v>36</v>
      </c>
      <c r="E34" t="s">
        <v>34</v>
      </c>
    </row>
    <row r="35" spans="1:9" x14ac:dyDescent="0.3">
      <c r="A35" t="s">
        <v>30</v>
      </c>
      <c r="B35" t="s">
        <v>6</v>
      </c>
      <c r="C35">
        <v>-0.69686000000000003</v>
      </c>
      <c r="D35" t="s">
        <v>36</v>
      </c>
      <c r="E35" t="s">
        <v>34</v>
      </c>
    </row>
    <row r="36" spans="1:9" x14ac:dyDescent="0.3">
      <c r="A36" t="s">
        <v>31</v>
      </c>
      <c r="B36" t="s">
        <v>12</v>
      </c>
      <c r="C36">
        <v>0.26798</v>
      </c>
      <c r="D36" t="s">
        <v>36</v>
      </c>
      <c r="E36" t="s">
        <v>34</v>
      </c>
    </row>
    <row r="37" spans="1:9" x14ac:dyDescent="0.3">
      <c r="A37" t="s">
        <v>32</v>
      </c>
      <c r="B37" t="s">
        <v>12</v>
      </c>
      <c r="C37" s="2">
        <v>3.2433000000000001E-12</v>
      </c>
      <c r="D37" t="s">
        <v>36</v>
      </c>
      <c r="E37" t="s">
        <v>34</v>
      </c>
    </row>
    <row r="38" spans="1:9" x14ac:dyDescent="0.3">
      <c r="A38" t="s">
        <v>27</v>
      </c>
      <c r="B38" t="s">
        <v>6</v>
      </c>
      <c r="C38">
        <v>16.41</v>
      </c>
      <c r="D38" t="s">
        <v>37</v>
      </c>
      <c r="E38" t="s">
        <v>29</v>
      </c>
    </row>
    <row r="39" spans="1:9" x14ac:dyDescent="0.3">
      <c r="A39" t="s">
        <v>30</v>
      </c>
      <c r="B39" t="s">
        <v>6</v>
      </c>
      <c r="C39">
        <v>1.8559000000000001</v>
      </c>
      <c r="D39" t="s">
        <v>37</v>
      </c>
      <c r="E39" t="s">
        <v>29</v>
      </c>
    </row>
    <row r="40" spans="1:9" x14ac:dyDescent="0.3">
      <c r="A40" t="s">
        <v>31</v>
      </c>
      <c r="B40" t="s">
        <v>12</v>
      </c>
      <c r="C40">
        <v>0.31435999999999997</v>
      </c>
      <c r="D40" t="s">
        <v>37</v>
      </c>
      <c r="E40" t="s">
        <v>29</v>
      </c>
    </row>
    <row r="41" spans="1:9" x14ac:dyDescent="0.3">
      <c r="A41" t="s">
        <v>32</v>
      </c>
      <c r="B41" t="s">
        <v>12</v>
      </c>
      <c r="C41" s="2">
        <v>-3.71E-11</v>
      </c>
      <c r="D41" t="s">
        <v>37</v>
      </c>
      <c r="E41" t="s">
        <v>29</v>
      </c>
    </row>
    <row r="42" spans="1:9" x14ac:dyDescent="0.3">
      <c r="A42" t="s">
        <v>27</v>
      </c>
      <c r="B42" t="s">
        <v>6</v>
      </c>
      <c r="C42">
        <v>16.41</v>
      </c>
      <c r="D42" t="s">
        <v>37</v>
      </c>
      <c r="E42" t="s">
        <v>33</v>
      </c>
    </row>
    <row r="43" spans="1:9" x14ac:dyDescent="0.3">
      <c r="A43" t="s">
        <v>30</v>
      </c>
      <c r="B43" t="s">
        <v>6</v>
      </c>
      <c r="C43">
        <v>-1.8559000000000001</v>
      </c>
      <c r="D43" t="s">
        <v>37</v>
      </c>
      <c r="E43" t="s">
        <v>33</v>
      </c>
    </row>
    <row r="44" spans="1:9" x14ac:dyDescent="0.3">
      <c r="A44" t="s">
        <v>31</v>
      </c>
      <c r="B44" t="s">
        <v>12</v>
      </c>
      <c r="C44">
        <v>1.6479999999999999</v>
      </c>
      <c r="D44" t="s">
        <v>37</v>
      </c>
      <c r="E44" t="s">
        <v>33</v>
      </c>
    </row>
    <row r="45" spans="1:9" x14ac:dyDescent="0.3">
      <c r="A45" t="s">
        <v>32</v>
      </c>
      <c r="B45" t="s">
        <v>12</v>
      </c>
      <c r="C45" s="2">
        <v>1.7562999999999999E-11</v>
      </c>
      <c r="D45" t="s">
        <v>37</v>
      </c>
      <c r="E45" t="s">
        <v>33</v>
      </c>
    </row>
    <row r="46" spans="1:9" x14ac:dyDescent="0.3">
      <c r="A46" t="s">
        <v>27</v>
      </c>
      <c r="B46" t="s">
        <v>6</v>
      </c>
      <c r="C46">
        <v>16.41</v>
      </c>
      <c r="D46" t="s">
        <v>38</v>
      </c>
      <c r="E46" t="s">
        <v>29</v>
      </c>
    </row>
    <row r="47" spans="1:9" x14ac:dyDescent="0.3">
      <c r="A47" t="s">
        <v>30</v>
      </c>
      <c r="B47" t="s">
        <v>6</v>
      </c>
      <c r="C47">
        <v>-1.8559000000000001</v>
      </c>
      <c r="D47" t="s">
        <v>38</v>
      </c>
      <c r="E47" t="s">
        <v>29</v>
      </c>
    </row>
    <row r="48" spans="1:9" x14ac:dyDescent="0.3">
      <c r="A48" t="s">
        <v>31</v>
      </c>
      <c r="B48" t="s">
        <v>12</v>
      </c>
      <c r="C48">
        <v>1.0631999999999999</v>
      </c>
      <c r="D48" t="s">
        <v>38</v>
      </c>
      <c r="E48" t="s">
        <v>29</v>
      </c>
    </row>
    <row r="49" spans="1:5" x14ac:dyDescent="0.3">
      <c r="A49" t="s">
        <v>32</v>
      </c>
      <c r="B49" t="s">
        <v>12</v>
      </c>
      <c r="C49" s="2">
        <v>-1.7758000000000001E-11</v>
      </c>
      <c r="D49" t="s">
        <v>38</v>
      </c>
      <c r="E49" t="s">
        <v>29</v>
      </c>
    </row>
    <row r="50" spans="1:5" x14ac:dyDescent="0.3">
      <c r="A50" t="s">
        <v>27</v>
      </c>
      <c r="B50" t="s">
        <v>6</v>
      </c>
      <c r="C50">
        <v>16.41</v>
      </c>
      <c r="D50" t="s">
        <v>38</v>
      </c>
      <c r="E50" t="s">
        <v>33</v>
      </c>
    </row>
    <row r="51" spans="1:5" x14ac:dyDescent="0.3">
      <c r="A51" t="s">
        <v>30</v>
      </c>
      <c r="B51" t="s">
        <v>6</v>
      </c>
      <c r="C51">
        <v>1.8559000000000001</v>
      </c>
      <c r="D51" t="s">
        <v>38</v>
      </c>
      <c r="E51" t="s">
        <v>33</v>
      </c>
    </row>
    <row r="52" spans="1:5" x14ac:dyDescent="0.3">
      <c r="A52" t="s">
        <v>31</v>
      </c>
      <c r="B52" t="s">
        <v>12</v>
      </c>
      <c r="C52">
        <v>2.9064999999999999</v>
      </c>
      <c r="D52" t="s">
        <v>38</v>
      </c>
      <c r="E52" t="s">
        <v>33</v>
      </c>
    </row>
    <row r="53" spans="1:5" x14ac:dyDescent="0.3">
      <c r="A53" t="s">
        <v>32</v>
      </c>
      <c r="B53" t="s">
        <v>12</v>
      </c>
      <c r="C53" s="2">
        <v>4.2482000000000003E-11</v>
      </c>
      <c r="D53" t="s">
        <v>38</v>
      </c>
      <c r="E53" t="s">
        <v>33</v>
      </c>
    </row>
    <row r="54" spans="1:5" x14ac:dyDescent="0.3">
      <c r="A54" t="s">
        <v>27</v>
      </c>
      <c r="B54" t="s">
        <v>6</v>
      </c>
      <c r="C54">
        <v>15.462999999999999</v>
      </c>
      <c r="D54" t="s">
        <v>39</v>
      </c>
      <c r="E54" t="s">
        <v>29</v>
      </c>
    </row>
    <row r="55" spans="1:5" x14ac:dyDescent="0.3">
      <c r="A55" t="s">
        <v>30</v>
      </c>
      <c r="B55" t="s">
        <v>6</v>
      </c>
      <c r="C55">
        <v>-0.81838</v>
      </c>
      <c r="D55" t="s">
        <v>39</v>
      </c>
      <c r="E55" t="s">
        <v>29</v>
      </c>
    </row>
    <row r="56" spans="1:5" x14ac:dyDescent="0.3">
      <c r="A56" t="s">
        <v>31</v>
      </c>
      <c r="B56" t="s">
        <v>12</v>
      </c>
      <c r="C56">
        <v>0.10168000000000001</v>
      </c>
      <c r="D56" t="s">
        <v>39</v>
      </c>
      <c r="E56" t="s">
        <v>29</v>
      </c>
    </row>
    <row r="57" spans="1:5" x14ac:dyDescent="0.3">
      <c r="A57" t="s">
        <v>32</v>
      </c>
      <c r="B57" t="s">
        <v>12</v>
      </c>
      <c r="C57" s="2">
        <v>-1.0612E-10</v>
      </c>
      <c r="D57" t="s">
        <v>39</v>
      </c>
      <c r="E57" t="s">
        <v>29</v>
      </c>
    </row>
    <row r="58" spans="1:5" x14ac:dyDescent="0.3">
      <c r="A58" t="s">
        <v>27</v>
      </c>
      <c r="B58" t="s">
        <v>6</v>
      </c>
      <c r="C58">
        <v>15.462999999999999</v>
      </c>
      <c r="D58" t="s">
        <v>39</v>
      </c>
      <c r="E58" t="s">
        <v>33</v>
      </c>
    </row>
    <row r="59" spans="1:5" x14ac:dyDescent="0.3">
      <c r="A59" t="s">
        <v>30</v>
      </c>
      <c r="B59" t="s">
        <v>6</v>
      </c>
      <c r="C59">
        <v>-0.81838</v>
      </c>
      <c r="D59" t="s">
        <v>39</v>
      </c>
      <c r="E59" t="s">
        <v>33</v>
      </c>
    </row>
    <row r="60" spans="1:5" x14ac:dyDescent="0.3">
      <c r="A60" t="s">
        <v>31</v>
      </c>
      <c r="B60" t="s">
        <v>12</v>
      </c>
      <c r="C60">
        <v>1.2665</v>
      </c>
      <c r="D60" t="s">
        <v>39</v>
      </c>
      <c r="E60" t="s">
        <v>33</v>
      </c>
    </row>
    <row r="61" spans="1:5" x14ac:dyDescent="0.3">
      <c r="A61" t="s">
        <v>32</v>
      </c>
      <c r="B61" t="s">
        <v>12</v>
      </c>
      <c r="C61" s="2">
        <v>-5.1179999999999998E-11</v>
      </c>
      <c r="D61" t="s">
        <v>39</v>
      </c>
      <c r="E61" t="s">
        <v>33</v>
      </c>
    </row>
    <row r="62" spans="1:5" x14ac:dyDescent="0.3">
      <c r="A62" t="s">
        <v>27</v>
      </c>
      <c r="B62" t="s">
        <v>6</v>
      </c>
      <c r="C62">
        <v>6.8220000000000001</v>
      </c>
      <c r="D62" t="s">
        <v>39</v>
      </c>
      <c r="E62" t="s">
        <v>34</v>
      </c>
    </row>
    <row r="63" spans="1:5" x14ac:dyDescent="0.3">
      <c r="A63" t="s">
        <v>30</v>
      </c>
      <c r="B63" t="s">
        <v>6</v>
      </c>
      <c r="C63">
        <v>1.6277999999999999</v>
      </c>
      <c r="D63" t="s">
        <v>39</v>
      </c>
      <c r="E63" t="s">
        <v>34</v>
      </c>
    </row>
    <row r="64" spans="1:5" x14ac:dyDescent="0.3">
      <c r="A64" t="s">
        <v>31</v>
      </c>
      <c r="B64" t="s">
        <v>12</v>
      </c>
      <c r="C64">
        <v>0.13863</v>
      </c>
      <c r="D64" t="s">
        <v>39</v>
      </c>
      <c r="E64" t="s">
        <v>34</v>
      </c>
    </row>
    <row r="65" spans="1:5" x14ac:dyDescent="0.3">
      <c r="A65" t="s">
        <v>32</v>
      </c>
      <c r="B65" t="s">
        <v>12</v>
      </c>
      <c r="C65" s="2">
        <v>-1.0635E-10</v>
      </c>
      <c r="D65" t="s">
        <v>39</v>
      </c>
      <c r="E65" t="s">
        <v>34</v>
      </c>
    </row>
    <row r="66" spans="1:5" x14ac:dyDescent="0.3">
      <c r="A66" t="s">
        <v>27</v>
      </c>
      <c r="B66" t="s">
        <v>6</v>
      </c>
      <c r="C66">
        <v>117.72</v>
      </c>
      <c r="D66" t="s">
        <v>40</v>
      </c>
      <c r="E66" t="s">
        <v>29</v>
      </c>
    </row>
    <row r="67" spans="1:5" x14ac:dyDescent="0.3">
      <c r="A67" t="s">
        <v>30</v>
      </c>
      <c r="B67" t="s">
        <v>6</v>
      </c>
      <c r="C67">
        <v>1.8559000000000001</v>
      </c>
      <c r="D67" t="s">
        <v>40</v>
      </c>
      <c r="E67" t="s">
        <v>29</v>
      </c>
    </row>
    <row r="68" spans="1:5" x14ac:dyDescent="0.3">
      <c r="A68" t="s">
        <v>31</v>
      </c>
      <c r="B68" t="s">
        <v>12</v>
      </c>
      <c r="C68">
        <v>34.816000000000003</v>
      </c>
      <c r="D68" t="s">
        <v>40</v>
      </c>
      <c r="E68" t="s">
        <v>29</v>
      </c>
    </row>
    <row r="69" spans="1:5" x14ac:dyDescent="0.3">
      <c r="A69" t="s">
        <v>32</v>
      </c>
      <c r="B69" t="s">
        <v>12</v>
      </c>
      <c r="C69" s="2">
        <v>1.5963E-10</v>
      </c>
      <c r="D69" t="s">
        <v>40</v>
      </c>
      <c r="E69" t="s">
        <v>29</v>
      </c>
    </row>
    <row r="70" spans="1:5" x14ac:dyDescent="0.3">
      <c r="A70" t="s">
        <v>27</v>
      </c>
      <c r="B70" t="s">
        <v>6</v>
      </c>
      <c r="C70">
        <v>117.72</v>
      </c>
      <c r="D70" t="s">
        <v>40</v>
      </c>
      <c r="E70" t="s">
        <v>33</v>
      </c>
    </row>
    <row r="71" spans="1:5" x14ac:dyDescent="0.3">
      <c r="A71" t="s">
        <v>30</v>
      </c>
      <c r="B71" t="s">
        <v>6</v>
      </c>
      <c r="C71">
        <v>-1.8559000000000001</v>
      </c>
      <c r="D71" t="s">
        <v>40</v>
      </c>
      <c r="E71" t="s">
        <v>33</v>
      </c>
    </row>
    <row r="72" spans="1:5" x14ac:dyDescent="0.3">
      <c r="A72" t="s">
        <v>31</v>
      </c>
      <c r="B72" t="s">
        <v>12</v>
      </c>
      <c r="C72">
        <v>94.768000000000001</v>
      </c>
      <c r="D72" t="s">
        <v>40</v>
      </c>
      <c r="E72" t="s">
        <v>33</v>
      </c>
    </row>
    <row r="73" spans="1:5" x14ac:dyDescent="0.3">
      <c r="A73" t="s">
        <v>32</v>
      </c>
      <c r="B73" t="s">
        <v>12</v>
      </c>
      <c r="C73" s="2">
        <v>-1.7546E-12</v>
      </c>
      <c r="D73" t="s">
        <v>40</v>
      </c>
      <c r="E73" t="s">
        <v>33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3BD8A-AE9F-46B7-8262-F8FAA9FBB93F}">
  <dimension ref="A1:R74"/>
  <sheetViews>
    <sheetView workbookViewId="0">
      <selection activeCell="K3" sqref="K3"/>
    </sheetView>
  </sheetViews>
  <sheetFormatPr defaultRowHeight="14.4" x14ac:dyDescent="0.3"/>
  <cols>
    <col min="1" max="1" width="11.5546875" customWidth="1"/>
    <col min="2" max="2" width="10.33203125" customWidth="1"/>
    <col min="3" max="3" width="10.77734375" customWidth="1"/>
    <col min="4" max="4" width="10.33203125" customWidth="1"/>
    <col min="5" max="5" width="11.44140625" customWidth="1"/>
    <col min="6" max="8" width="10.33203125" customWidth="1"/>
    <col min="9" max="9" width="11" bestFit="1" customWidth="1"/>
  </cols>
  <sheetData>
    <row r="1" spans="1:18" x14ac:dyDescent="0.3">
      <c r="A1" s="3" t="s">
        <v>0</v>
      </c>
      <c r="B1" t="s">
        <v>21</v>
      </c>
      <c r="C1" s="4" t="s">
        <v>1</v>
      </c>
      <c r="D1" t="s">
        <v>22</v>
      </c>
      <c r="E1" s="4" t="s">
        <v>2</v>
      </c>
      <c r="F1" t="s">
        <v>23</v>
      </c>
      <c r="G1" t="s">
        <v>25</v>
      </c>
      <c r="H1" t="s">
        <v>26</v>
      </c>
    </row>
    <row r="2" spans="1:18" x14ac:dyDescent="0.3">
      <c r="A2" s="1" t="s">
        <v>3</v>
      </c>
      <c r="B2" t="s">
        <v>5</v>
      </c>
      <c r="C2" t="s">
        <v>6</v>
      </c>
      <c r="D2">
        <v>8.4466000000000001</v>
      </c>
      <c r="E2" t="s">
        <v>7</v>
      </c>
      <c r="F2" t="s">
        <v>8</v>
      </c>
      <c r="G2" t="s">
        <v>9</v>
      </c>
      <c r="H2">
        <v>1</v>
      </c>
      <c r="K2" t="s">
        <v>20</v>
      </c>
    </row>
    <row r="3" spans="1:18" x14ac:dyDescent="0.3">
      <c r="A3" s="1" t="s">
        <v>4</v>
      </c>
      <c r="B3" t="s">
        <v>5</v>
      </c>
      <c r="C3" t="s">
        <v>6</v>
      </c>
      <c r="D3">
        <v>0.18961</v>
      </c>
      <c r="E3" t="s">
        <v>7</v>
      </c>
      <c r="F3" t="s">
        <v>8</v>
      </c>
      <c r="G3" t="s">
        <v>9</v>
      </c>
      <c r="H3">
        <v>1</v>
      </c>
      <c r="K3" t="str" cm="1">
        <f t="array" ref="K3:R3">_xlfn.XLOOKUP(MAX(D2:D73), D2:D73, A2:H73)</f>
        <v>Shear</v>
      </c>
      <c r="L3" t="str">
        <v>Force</v>
      </c>
      <c r="M3" t="str">
        <v>(lbf)</v>
      </c>
      <c r="N3">
        <v>117.72</v>
      </c>
      <c r="O3" t="str">
        <v>Pin</v>
      </c>
      <c r="P3" t="str">
        <v>Connector-8</v>
      </c>
      <c r="Q3" t="str">
        <v>Joint</v>
      </c>
      <c r="R3">
        <v>1</v>
      </c>
    </row>
    <row r="4" spans="1:18" x14ac:dyDescent="0.3">
      <c r="A4" s="1" t="s">
        <v>10</v>
      </c>
      <c r="B4" t="s">
        <v>11</v>
      </c>
      <c r="C4" t="s">
        <v>12</v>
      </c>
      <c r="D4">
        <v>0.68944000000000005</v>
      </c>
      <c r="E4" t="s">
        <v>7</v>
      </c>
      <c r="F4" t="s">
        <v>8</v>
      </c>
      <c r="G4" t="s">
        <v>9</v>
      </c>
      <c r="H4">
        <v>1</v>
      </c>
    </row>
    <row r="5" spans="1:18" x14ac:dyDescent="0.3">
      <c r="A5" s="1" t="s">
        <v>13</v>
      </c>
      <c r="C5" t="s">
        <v>12</v>
      </c>
      <c r="D5" s="2">
        <v>-3.8407E-11</v>
      </c>
      <c r="E5" s="2" t="s">
        <v>7</v>
      </c>
      <c r="F5" t="s">
        <v>8</v>
      </c>
      <c r="G5" t="s">
        <v>9</v>
      </c>
      <c r="H5">
        <v>1</v>
      </c>
    </row>
    <row r="6" spans="1:18" x14ac:dyDescent="0.3">
      <c r="A6" s="1" t="s">
        <v>3</v>
      </c>
      <c r="B6" t="s">
        <v>5</v>
      </c>
      <c r="C6" t="s">
        <v>6</v>
      </c>
      <c r="D6">
        <v>34.825000000000003</v>
      </c>
      <c r="E6" t="s">
        <v>7</v>
      </c>
      <c r="F6" t="s">
        <v>8</v>
      </c>
      <c r="G6" t="s">
        <v>9</v>
      </c>
      <c r="H6">
        <v>2</v>
      </c>
    </row>
    <row r="7" spans="1:18" x14ac:dyDescent="0.3">
      <c r="A7" s="1" t="s">
        <v>4</v>
      </c>
      <c r="B7" t="s">
        <v>5</v>
      </c>
      <c r="C7" t="s">
        <v>6</v>
      </c>
      <c r="D7">
        <v>1.2361</v>
      </c>
      <c r="E7" t="s">
        <v>7</v>
      </c>
      <c r="F7" t="s">
        <v>8</v>
      </c>
      <c r="G7" t="s">
        <v>9</v>
      </c>
      <c r="H7">
        <v>2</v>
      </c>
    </row>
    <row r="8" spans="1:18" x14ac:dyDescent="0.3">
      <c r="A8" s="1" t="s">
        <v>10</v>
      </c>
      <c r="B8" t="s">
        <v>11</v>
      </c>
      <c r="C8" t="s">
        <v>12</v>
      </c>
      <c r="D8">
        <v>7.1734</v>
      </c>
      <c r="E8" t="s">
        <v>7</v>
      </c>
      <c r="F8" t="s">
        <v>8</v>
      </c>
      <c r="G8" t="s">
        <v>9</v>
      </c>
      <c r="H8">
        <v>2</v>
      </c>
    </row>
    <row r="9" spans="1:18" x14ac:dyDescent="0.3">
      <c r="A9" s="1" t="s">
        <v>13</v>
      </c>
      <c r="C9" t="s">
        <v>12</v>
      </c>
      <c r="D9" s="2">
        <v>-7.7394999999999995E-11</v>
      </c>
      <c r="E9" s="2" t="s">
        <v>7</v>
      </c>
      <c r="F9" t="s">
        <v>8</v>
      </c>
      <c r="G9" t="s">
        <v>9</v>
      </c>
      <c r="H9">
        <v>2</v>
      </c>
    </row>
    <row r="10" spans="1:18" x14ac:dyDescent="0.3">
      <c r="A10" s="1" t="s">
        <v>3</v>
      </c>
      <c r="B10" t="s">
        <v>5</v>
      </c>
      <c r="C10" t="s">
        <v>6</v>
      </c>
      <c r="D10">
        <v>34.825000000000003</v>
      </c>
      <c r="E10" t="s">
        <v>7</v>
      </c>
      <c r="F10" t="s">
        <v>8</v>
      </c>
      <c r="G10" t="s">
        <v>9</v>
      </c>
      <c r="H10">
        <v>3</v>
      </c>
    </row>
    <row r="11" spans="1:18" x14ac:dyDescent="0.3">
      <c r="A11" s="1" t="s">
        <v>4</v>
      </c>
      <c r="B11" t="s">
        <v>5</v>
      </c>
      <c r="C11" t="s">
        <v>6</v>
      </c>
      <c r="D11">
        <v>-1.2361</v>
      </c>
      <c r="E11" t="s">
        <v>7</v>
      </c>
      <c r="F11" t="s">
        <v>8</v>
      </c>
      <c r="G11" t="s">
        <v>9</v>
      </c>
      <c r="H11">
        <v>3</v>
      </c>
    </row>
    <row r="12" spans="1:18" x14ac:dyDescent="0.3">
      <c r="A12" s="1" t="s">
        <v>10</v>
      </c>
      <c r="B12" t="s">
        <v>11</v>
      </c>
      <c r="C12" t="s">
        <v>12</v>
      </c>
      <c r="D12">
        <v>1.0758000000000001</v>
      </c>
      <c r="E12" t="s">
        <v>7</v>
      </c>
      <c r="F12" t="s">
        <v>8</v>
      </c>
      <c r="G12" t="s">
        <v>9</v>
      </c>
      <c r="H12">
        <v>3</v>
      </c>
    </row>
    <row r="13" spans="1:18" x14ac:dyDescent="0.3">
      <c r="A13" s="1" t="s">
        <v>13</v>
      </c>
      <c r="C13" t="s">
        <v>12</v>
      </c>
      <c r="D13" s="2">
        <v>-3.7355999999999999E-11</v>
      </c>
      <c r="E13" s="2" t="s">
        <v>7</v>
      </c>
      <c r="F13" t="s">
        <v>8</v>
      </c>
      <c r="G13" t="s">
        <v>9</v>
      </c>
      <c r="H13">
        <v>3</v>
      </c>
    </row>
    <row r="14" spans="1:18" x14ac:dyDescent="0.3">
      <c r="A14" s="1" t="s">
        <v>3</v>
      </c>
      <c r="B14" t="s">
        <v>5</v>
      </c>
      <c r="C14" t="s">
        <v>6</v>
      </c>
      <c r="D14">
        <v>10.833</v>
      </c>
      <c r="E14" t="s">
        <v>7</v>
      </c>
      <c r="F14" t="s">
        <v>14</v>
      </c>
      <c r="G14" t="s">
        <v>9</v>
      </c>
      <c r="H14">
        <v>1</v>
      </c>
    </row>
    <row r="15" spans="1:18" x14ac:dyDescent="0.3">
      <c r="A15" s="1" t="s">
        <v>4</v>
      </c>
      <c r="B15" t="s">
        <v>5</v>
      </c>
      <c r="C15" t="s">
        <v>6</v>
      </c>
      <c r="D15">
        <v>-1.8895</v>
      </c>
      <c r="E15" t="s">
        <v>7</v>
      </c>
      <c r="F15" t="s">
        <v>14</v>
      </c>
      <c r="G15" t="s">
        <v>9</v>
      </c>
      <c r="H15">
        <v>1</v>
      </c>
    </row>
    <row r="16" spans="1:18" x14ac:dyDescent="0.3">
      <c r="A16" s="1" t="s">
        <v>10</v>
      </c>
      <c r="B16" t="s">
        <v>11</v>
      </c>
      <c r="C16" t="s">
        <v>12</v>
      </c>
      <c r="D16">
        <v>7.4079999999999993E-2</v>
      </c>
      <c r="E16" t="s">
        <v>7</v>
      </c>
      <c r="F16" t="s">
        <v>14</v>
      </c>
      <c r="G16" t="s">
        <v>9</v>
      </c>
      <c r="H16">
        <v>1</v>
      </c>
    </row>
    <row r="17" spans="1:8" x14ac:dyDescent="0.3">
      <c r="A17" s="1" t="s">
        <v>13</v>
      </c>
      <c r="C17" t="s">
        <v>12</v>
      </c>
      <c r="D17" s="2">
        <v>4.9308E-12</v>
      </c>
      <c r="E17" s="2" t="s">
        <v>7</v>
      </c>
      <c r="F17" t="s">
        <v>14</v>
      </c>
      <c r="G17" t="s">
        <v>9</v>
      </c>
      <c r="H17">
        <v>1</v>
      </c>
    </row>
    <row r="18" spans="1:8" x14ac:dyDescent="0.3">
      <c r="A18" s="1" t="s">
        <v>3</v>
      </c>
      <c r="B18" t="s">
        <v>5</v>
      </c>
      <c r="C18" t="s">
        <v>6</v>
      </c>
      <c r="D18">
        <v>11.114000000000001</v>
      </c>
      <c r="E18" t="s">
        <v>7</v>
      </c>
      <c r="F18" t="s">
        <v>14</v>
      </c>
      <c r="G18" t="s">
        <v>9</v>
      </c>
      <c r="H18">
        <v>2</v>
      </c>
    </row>
    <row r="19" spans="1:8" x14ac:dyDescent="0.3">
      <c r="A19" s="1" t="s">
        <v>4</v>
      </c>
      <c r="B19" t="s">
        <v>5</v>
      </c>
      <c r="C19" t="s">
        <v>6</v>
      </c>
      <c r="D19">
        <v>-1.08</v>
      </c>
      <c r="E19" t="s">
        <v>7</v>
      </c>
      <c r="F19" t="s">
        <v>14</v>
      </c>
      <c r="G19" t="s">
        <v>9</v>
      </c>
      <c r="H19">
        <v>2</v>
      </c>
    </row>
    <row r="20" spans="1:8" x14ac:dyDescent="0.3">
      <c r="A20" s="1" t="s">
        <v>10</v>
      </c>
      <c r="B20" t="s">
        <v>11</v>
      </c>
      <c r="C20" t="s">
        <v>12</v>
      </c>
      <c r="D20">
        <v>1.9839</v>
      </c>
      <c r="E20" t="s">
        <v>7</v>
      </c>
      <c r="F20" t="s">
        <v>14</v>
      </c>
      <c r="G20" t="s">
        <v>9</v>
      </c>
      <c r="H20">
        <v>2</v>
      </c>
    </row>
    <row r="21" spans="1:8" x14ac:dyDescent="0.3">
      <c r="A21" s="1" t="s">
        <v>13</v>
      </c>
      <c r="C21" t="s">
        <v>12</v>
      </c>
      <c r="D21" s="2">
        <v>3.0917999999999997E-11</v>
      </c>
      <c r="E21" s="2" t="s">
        <v>7</v>
      </c>
      <c r="F21" t="s">
        <v>14</v>
      </c>
      <c r="G21" t="s">
        <v>9</v>
      </c>
      <c r="H21">
        <v>2</v>
      </c>
    </row>
    <row r="22" spans="1:8" x14ac:dyDescent="0.3">
      <c r="A22" s="1" t="s">
        <v>3</v>
      </c>
      <c r="B22" t="s">
        <v>5</v>
      </c>
      <c r="C22" t="s">
        <v>6</v>
      </c>
      <c r="D22">
        <v>11.114000000000001</v>
      </c>
      <c r="E22" t="s">
        <v>7</v>
      </c>
      <c r="F22" t="s">
        <v>14</v>
      </c>
      <c r="G22" t="s">
        <v>9</v>
      </c>
      <c r="H22">
        <v>3</v>
      </c>
    </row>
    <row r="23" spans="1:8" x14ac:dyDescent="0.3">
      <c r="A23" s="1" t="s">
        <v>4</v>
      </c>
      <c r="B23" t="s">
        <v>5</v>
      </c>
      <c r="C23" t="s">
        <v>6</v>
      </c>
      <c r="D23">
        <v>1.08</v>
      </c>
      <c r="E23" t="s">
        <v>7</v>
      </c>
      <c r="F23" t="s">
        <v>14</v>
      </c>
      <c r="G23" t="s">
        <v>9</v>
      </c>
      <c r="H23">
        <v>3</v>
      </c>
    </row>
    <row r="24" spans="1:8" x14ac:dyDescent="0.3">
      <c r="A24" s="1" t="s">
        <v>10</v>
      </c>
      <c r="B24" t="s">
        <v>11</v>
      </c>
      <c r="C24" t="s">
        <v>12</v>
      </c>
      <c r="D24">
        <v>0.34658</v>
      </c>
      <c r="E24" t="s">
        <v>7</v>
      </c>
      <c r="F24" t="s">
        <v>14</v>
      </c>
      <c r="G24" t="s">
        <v>9</v>
      </c>
      <c r="H24">
        <v>3</v>
      </c>
    </row>
    <row r="25" spans="1:8" x14ac:dyDescent="0.3">
      <c r="A25" s="1" t="s">
        <v>13</v>
      </c>
      <c r="C25" t="s">
        <v>12</v>
      </c>
      <c r="D25" s="2">
        <v>5.5545999999999998E-12</v>
      </c>
      <c r="E25" s="2" t="s">
        <v>7</v>
      </c>
      <c r="F25" t="s">
        <v>14</v>
      </c>
      <c r="G25" t="s">
        <v>9</v>
      </c>
      <c r="H25">
        <v>3</v>
      </c>
    </row>
    <row r="26" spans="1:8" x14ac:dyDescent="0.3">
      <c r="A26" s="1" t="s">
        <v>3</v>
      </c>
      <c r="B26" t="s">
        <v>5</v>
      </c>
      <c r="C26" t="s">
        <v>6</v>
      </c>
      <c r="D26">
        <v>10.771000000000001</v>
      </c>
      <c r="E26" t="s">
        <v>7</v>
      </c>
      <c r="F26" t="s">
        <v>15</v>
      </c>
      <c r="G26" t="s">
        <v>9</v>
      </c>
      <c r="H26">
        <v>1</v>
      </c>
    </row>
    <row r="27" spans="1:8" x14ac:dyDescent="0.3">
      <c r="A27" s="1" t="s">
        <v>4</v>
      </c>
      <c r="B27" t="s">
        <v>5</v>
      </c>
      <c r="C27" t="s">
        <v>6</v>
      </c>
      <c r="D27">
        <v>1.5063</v>
      </c>
      <c r="E27" t="s">
        <v>7</v>
      </c>
      <c r="F27" t="s">
        <v>15</v>
      </c>
      <c r="G27" t="s">
        <v>9</v>
      </c>
      <c r="H27">
        <v>1</v>
      </c>
    </row>
    <row r="28" spans="1:8" x14ac:dyDescent="0.3">
      <c r="A28" s="1" t="s">
        <v>10</v>
      </c>
      <c r="B28" t="s">
        <v>11</v>
      </c>
      <c r="C28" t="s">
        <v>12</v>
      </c>
      <c r="D28">
        <v>0.26972000000000002</v>
      </c>
      <c r="E28" t="s">
        <v>7</v>
      </c>
      <c r="F28" t="s">
        <v>15</v>
      </c>
      <c r="G28" t="s">
        <v>9</v>
      </c>
      <c r="H28">
        <v>1</v>
      </c>
    </row>
    <row r="29" spans="1:8" x14ac:dyDescent="0.3">
      <c r="A29" s="1" t="s">
        <v>13</v>
      </c>
      <c r="C29" t="s">
        <v>12</v>
      </c>
      <c r="D29" s="2">
        <v>2.6559E-12</v>
      </c>
      <c r="E29" s="2" t="s">
        <v>7</v>
      </c>
      <c r="F29" t="s">
        <v>15</v>
      </c>
      <c r="G29" t="s">
        <v>9</v>
      </c>
      <c r="H29">
        <v>1</v>
      </c>
    </row>
    <row r="30" spans="1:8" x14ac:dyDescent="0.3">
      <c r="A30" s="1" t="s">
        <v>3</v>
      </c>
      <c r="B30" t="s">
        <v>5</v>
      </c>
      <c r="C30" t="s">
        <v>6</v>
      </c>
      <c r="D30">
        <v>20.405000000000001</v>
      </c>
      <c r="E30" t="s">
        <v>7</v>
      </c>
      <c r="F30" t="s">
        <v>15</v>
      </c>
      <c r="G30" t="s">
        <v>9</v>
      </c>
      <c r="H30">
        <v>2</v>
      </c>
    </row>
    <row r="31" spans="1:8" x14ac:dyDescent="0.3">
      <c r="A31" s="1" t="s">
        <v>4</v>
      </c>
      <c r="B31" t="s">
        <v>5</v>
      </c>
      <c r="C31" t="s">
        <v>6</v>
      </c>
      <c r="D31">
        <v>0.69686000000000003</v>
      </c>
      <c r="E31" t="s">
        <v>7</v>
      </c>
      <c r="F31" t="s">
        <v>15</v>
      </c>
      <c r="G31" t="s">
        <v>9</v>
      </c>
      <c r="H31">
        <v>2</v>
      </c>
    </row>
    <row r="32" spans="1:8" x14ac:dyDescent="0.3">
      <c r="A32" s="1" t="s">
        <v>10</v>
      </c>
      <c r="B32" t="s">
        <v>11</v>
      </c>
      <c r="C32" t="s">
        <v>12</v>
      </c>
      <c r="D32">
        <v>3.8658999999999999</v>
      </c>
      <c r="E32" t="s">
        <v>7</v>
      </c>
      <c r="F32" t="s">
        <v>15</v>
      </c>
      <c r="G32" t="s">
        <v>9</v>
      </c>
      <c r="H32">
        <v>2</v>
      </c>
    </row>
    <row r="33" spans="1:8" x14ac:dyDescent="0.3">
      <c r="A33" s="1" t="s">
        <v>13</v>
      </c>
      <c r="C33" t="s">
        <v>12</v>
      </c>
      <c r="D33" s="2">
        <v>-2.4505E-11</v>
      </c>
      <c r="E33" s="2" t="s">
        <v>7</v>
      </c>
      <c r="F33" t="s">
        <v>15</v>
      </c>
      <c r="G33" t="s">
        <v>9</v>
      </c>
      <c r="H33">
        <v>2</v>
      </c>
    </row>
    <row r="34" spans="1:8" x14ac:dyDescent="0.3">
      <c r="A34" s="1" t="s">
        <v>3</v>
      </c>
      <c r="B34" t="s">
        <v>5</v>
      </c>
      <c r="C34" t="s">
        <v>6</v>
      </c>
      <c r="D34">
        <v>20.405000000000001</v>
      </c>
      <c r="E34" t="s">
        <v>7</v>
      </c>
      <c r="F34" t="s">
        <v>15</v>
      </c>
      <c r="G34" t="s">
        <v>9</v>
      </c>
      <c r="H34">
        <v>3</v>
      </c>
    </row>
    <row r="35" spans="1:8" x14ac:dyDescent="0.3">
      <c r="A35" s="1" t="s">
        <v>4</v>
      </c>
      <c r="B35" t="s">
        <v>5</v>
      </c>
      <c r="C35" t="s">
        <v>6</v>
      </c>
      <c r="D35">
        <v>-0.69686000000000003</v>
      </c>
      <c r="E35" t="s">
        <v>7</v>
      </c>
      <c r="F35" t="s">
        <v>15</v>
      </c>
      <c r="G35" t="s">
        <v>9</v>
      </c>
      <c r="H35">
        <v>3</v>
      </c>
    </row>
    <row r="36" spans="1:8" x14ac:dyDescent="0.3">
      <c r="A36" s="1" t="s">
        <v>10</v>
      </c>
      <c r="B36" t="s">
        <v>11</v>
      </c>
      <c r="C36" t="s">
        <v>12</v>
      </c>
      <c r="D36">
        <v>0.26798</v>
      </c>
      <c r="E36" t="s">
        <v>7</v>
      </c>
      <c r="F36" t="s">
        <v>15</v>
      </c>
      <c r="G36" t="s">
        <v>9</v>
      </c>
      <c r="H36">
        <v>3</v>
      </c>
    </row>
    <row r="37" spans="1:8" x14ac:dyDescent="0.3">
      <c r="A37" s="1" t="s">
        <v>13</v>
      </c>
      <c r="C37" t="s">
        <v>12</v>
      </c>
      <c r="D37" s="2">
        <v>3.2433000000000001E-12</v>
      </c>
      <c r="E37" s="2" t="s">
        <v>7</v>
      </c>
      <c r="F37" t="s">
        <v>15</v>
      </c>
      <c r="G37" t="s">
        <v>9</v>
      </c>
      <c r="H37">
        <v>3</v>
      </c>
    </row>
    <row r="38" spans="1:8" x14ac:dyDescent="0.3">
      <c r="A38" s="1" t="s">
        <v>3</v>
      </c>
      <c r="B38" t="s">
        <v>5</v>
      </c>
      <c r="C38" t="s">
        <v>6</v>
      </c>
      <c r="D38">
        <v>16.41</v>
      </c>
      <c r="E38" t="s">
        <v>7</v>
      </c>
      <c r="F38" t="s">
        <v>16</v>
      </c>
      <c r="G38" t="s">
        <v>9</v>
      </c>
      <c r="H38">
        <v>1</v>
      </c>
    </row>
    <row r="39" spans="1:8" x14ac:dyDescent="0.3">
      <c r="A39" s="1" t="s">
        <v>4</v>
      </c>
      <c r="B39" t="s">
        <v>5</v>
      </c>
      <c r="C39" t="s">
        <v>6</v>
      </c>
      <c r="D39">
        <v>1.8559000000000001</v>
      </c>
      <c r="E39" t="s">
        <v>7</v>
      </c>
      <c r="F39" t="s">
        <v>16</v>
      </c>
      <c r="G39" t="s">
        <v>9</v>
      </c>
      <c r="H39">
        <v>1</v>
      </c>
    </row>
    <row r="40" spans="1:8" x14ac:dyDescent="0.3">
      <c r="A40" s="1" t="s">
        <v>10</v>
      </c>
      <c r="B40" t="s">
        <v>11</v>
      </c>
      <c r="C40" t="s">
        <v>12</v>
      </c>
      <c r="D40">
        <v>0.31435999999999997</v>
      </c>
      <c r="E40" t="s">
        <v>7</v>
      </c>
      <c r="F40" t="s">
        <v>16</v>
      </c>
      <c r="G40" t="s">
        <v>9</v>
      </c>
      <c r="H40">
        <v>1</v>
      </c>
    </row>
    <row r="41" spans="1:8" x14ac:dyDescent="0.3">
      <c r="A41" s="1" t="s">
        <v>13</v>
      </c>
      <c r="C41" t="s">
        <v>12</v>
      </c>
      <c r="D41" s="2">
        <v>-3.71E-11</v>
      </c>
      <c r="E41" s="2" t="s">
        <v>7</v>
      </c>
      <c r="F41" t="s">
        <v>16</v>
      </c>
      <c r="G41" t="s">
        <v>9</v>
      </c>
      <c r="H41">
        <v>1</v>
      </c>
    </row>
    <row r="42" spans="1:8" x14ac:dyDescent="0.3">
      <c r="A42" s="1" t="s">
        <v>3</v>
      </c>
      <c r="B42" t="s">
        <v>5</v>
      </c>
      <c r="C42" t="s">
        <v>6</v>
      </c>
      <c r="D42">
        <v>16.41</v>
      </c>
      <c r="E42" t="s">
        <v>7</v>
      </c>
      <c r="F42" t="s">
        <v>16</v>
      </c>
      <c r="G42" t="s">
        <v>9</v>
      </c>
      <c r="H42">
        <v>2</v>
      </c>
    </row>
    <row r="43" spans="1:8" x14ac:dyDescent="0.3">
      <c r="A43" s="1" t="s">
        <v>4</v>
      </c>
      <c r="B43" t="s">
        <v>5</v>
      </c>
      <c r="C43" t="s">
        <v>6</v>
      </c>
      <c r="D43">
        <v>-1.8559000000000001</v>
      </c>
      <c r="E43" t="s">
        <v>7</v>
      </c>
      <c r="F43" t="s">
        <v>16</v>
      </c>
      <c r="G43" t="s">
        <v>9</v>
      </c>
      <c r="H43">
        <v>2</v>
      </c>
    </row>
    <row r="44" spans="1:8" x14ac:dyDescent="0.3">
      <c r="A44" s="1" t="s">
        <v>10</v>
      </c>
      <c r="B44" t="s">
        <v>11</v>
      </c>
      <c r="C44" t="s">
        <v>12</v>
      </c>
      <c r="D44">
        <v>1.6479999999999999</v>
      </c>
      <c r="E44" t="s">
        <v>7</v>
      </c>
      <c r="F44" t="s">
        <v>16</v>
      </c>
      <c r="G44" t="s">
        <v>9</v>
      </c>
      <c r="H44">
        <v>2</v>
      </c>
    </row>
    <row r="45" spans="1:8" x14ac:dyDescent="0.3">
      <c r="A45" s="1" t="s">
        <v>13</v>
      </c>
      <c r="C45" t="s">
        <v>12</v>
      </c>
      <c r="D45" s="2">
        <v>1.7562999999999999E-11</v>
      </c>
      <c r="E45" s="2" t="s">
        <v>7</v>
      </c>
      <c r="F45" t="s">
        <v>16</v>
      </c>
      <c r="G45" t="s">
        <v>9</v>
      </c>
      <c r="H45">
        <v>2</v>
      </c>
    </row>
    <row r="46" spans="1:8" x14ac:dyDescent="0.3">
      <c r="A46" s="1" t="s">
        <v>3</v>
      </c>
      <c r="B46" t="s">
        <v>5</v>
      </c>
      <c r="C46" t="s">
        <v>6</v>
      </c>
      <c r="D46">
        <v>16.41</v>
      </c>
      <c r="E46" t="s">
        <v>7</v>
      </c>
      <c r="F46" t="s">
        <v>17</v>
      </c>
      <c r="G46" t="s">
        <v>9</v>
      </c>
      <c r="H46">
        <v>1</v>
      </c>
    </row>
    <row r="47" spans="1:8" x14ac:dyDescent="0.3">
      <c r="A47" s="1" t="s">
        <v>4</v>
      </c>
      <c r="B47" t="s">
        <v>5</v>
      </c>
      <c r="C47" t="s">
        <v>6</v>
      </c>
      <c r="D47">
        <v>-1.8559000000000001</v>
      </c>
      <c r="E47" t="s">
        <v>7</v>
      </c>
      <c r="F47" t="s">
        <v>17</v>
      </c>
      <c r="G47" t="s">
        <v>9</v>
      </c>
      <c r="H47">
        <v>1</v>
      </c>
    </row>
    <row r="48" spans="1:8" x14ac:dyDescent="0.3">
      <c r="A48" s="1" t="s">
        <v>10</v>
      </c>
      <c r="B48" t="s">
        <v>11</v>
      </c>
      <c r="C48" t="s">
        <v>12</v>
      </c>
      <c r="D48">
        <v>1.0631999999999999</v>
      </c>
      <c r="E48" t="s">
        <v>7</v>
      </c>
      <c r="F48" t="s">
        <v>17</v>
      </c>
      <c r="G48" t="s">
        <v>9</v>
      </c>
      <c r="H48">
        <v>1</v>
      </c>
    </row>
    <row r="49" spans="1:8" x14ac:dyDescent="0.3">
      <c r="A49" s="1" t="s">
        <v>13</v>
      </c>
      <c r="C49" t="s">
        <v>12</v>
      </c>
      <c r="D49" s="2">
        <v>-1.7758000000000001E-11</v>
      </c>
      <c r="E49" s="2" t="s">
        <v>7</v>
      </c>
      <c r="F49" t="s">
        <v>17</v>
      </c>
      <c r="G49" t="s">
        <v>9</v>
      </c>
      <c r="H49">
        <v>1</v>
      </c>
    </row>
    <row r="50" spans="1:8" x14ac:dyDescent="0.3">
      <c r="A50" s="1" t="s">
        <v>3</v>
      </c>
      <c r="B50" t="s">
        <v>5</v>
      </c>
      <c r="C50" t="s">
        <v>6</v>
      </c>
      <c r="D50">
        <v>16.41</v>
      </c>
      <c r="E50" t="s">
        <v>7</v>
      </c>
      <c r="F50" t="s">
        <v>17</v>
      </c>
      <c r="G50" t="s">
        <v>9</v>
      </c>
      <c r="H50">
        <v>2</v>
      </c>
    </row>
    <row r="51" spans="1:8" x14ac:dyDescent="0.3">
      <c r="A51" s="1" t="s">
        <v>4</v>
      </c>
      <c r="B51" t="s">
        <v>5</v>
      </c>
      <c r="C51" t="s">
        <v>6</v>
      </c>
      <c r="D51">
        <v>1.8559000000000001</v>
      </c>
      <c r="E51" t="s">
        <v>7</v>
      </c>
      <c r="F51" t="s">
        <v>17</v>
      </c>
      <c r="G51" t="s">
        <v>9</v>
      </c>
      <c r="H51">
        <v>2</v>
      </c>
    </row>
    <row r="52" spans="1:8" x14ac:dyDescent="0.3">
      <c r="A52" s="1" t="s">
        <v>10</v>
      </c>
      <c r="B52" t="s">
        <v>11</v>
      </c>
      <c r="C52" t="s">
        <v>12</v>
      </c>
      <c r="D52">
        <v>2.9064999999999999</v>
      </c>
      <c r="E52" t="s">
        <v>7</v>
      </c>
      <c r="F52" t="s">
        <v>17</v>
      </c>
      <c r="G52" t="s">
        <v>9</v>
      </c>
      <c r="H52">
        <v>2</v>
      </c>
    </row>
    <row r="53" spans="1:8" x14ac:dyDescent="0.3">
      <c r="A53" s="1" t="s">
        <v>13</v>
      </c>
      <c r="C53" t="s">
        <v>12</v>
      </c>
      <c r="D53" s="2">
        <v>4.2482000000000003E-11</v>
      </c>
      <c r="E53" s="2" t="s">
        <v>7</v>
      </c>
      <c r="F53" t="s">
        <v>17</v>
      </c>
      <c r="G53" t="s">
        <v>9</v>
      </c>
      <c r="H53">
        <v>2</v>
      </c>
    </row>
    <row r="54" spans="1:8" x14ac:dyDescent="0.3">
      <c r="A54" s="1" t="s">
        <v>3</v>
      </c>
      <c r="B54" t="s">
        <v>5</v>
      </c>
      <c r="C54" t="s">
        <v>6</v>
      </c>
      <c r="D54">
        <v>15.462999999999999</v>
      </c>
      <c r="E54" t="s">
        <v>7</v>
      </c>
      <c r="F54" t="s">
        <v>18</v>
      </c>
      <c r="G54" t="s">
        <v>9</v>
      </c>
      <c r="H54">
        <v>1</v>
      </c>
    </row>
    <row r="55" spans="1:8" x14ac:dyDescent="0.3">
      <c r="A55" s="1" t="s">
        <v>4</v>
      </c>
      <c r="B55" t="s">
        <v>5</v>
      </c>
      <c r="C55" t="s">
        <v>6</v>
      </c>
      <c r="D55">
        <v>-0.81838</v>
      </c>
      <c r="E55" t="s">
        <v>7</v>
      </c>
      <c r="F55" t="s">
        <v>18</v>
      </c>
      <c r="G55" t="s">
        <v>9</v>
      </c>
      <c r="H55">
        <v>1</v>
      </c>
    </row>
    <row r="56" spans="1:8" x14ac:dyDescent="0.3">
      <c r="A56" s="1" t="s">
        <v>10</v>
      </c>
      <c r="B56" t="s">
        <v>11</v>
      </c>
      <c r="C56" t="s">
        <v>12</v>
      </c>
      <c r="D56">
        <v>0.10168000000000001</v>
      </c>
      <c r="E56" t="s">
        <v>7</v>
      </c>
      <c r="F56" t="s">
        <v>18</v>
      </c>
      <c r="G56" t="s">
        <v>9</v>
      </c>
      <c r="H56">
        <v>1</v>
      </c>
    </row>
    <row r="57" spans="1:8" x14ac:dyDescent="0.3">
      <c r="A57" s="1" t="s">
        <v>13</v>
      </c>
      <c r="C57" t="s">
        <v>12</v>
      </c>
      <c r="D57" s="2">
        <v>-1.0612E-10</v>
      </c>
      <c r="E57" s="2" t="s">
        <v>7</v>
      </c>
      <c r="F57" t="s">
        <v>18</v>
      </c>
      <c r="G57" t="s">
        <v>9</v>
      </c>
      <c r="H57">
        <v>1</v>
      </c>
    </row>
    <row r="58" spans="1:8" x14ac:dyDescent="0.3">
      <c r="A58" s="1" t="s">
        <v>3</v>
      </c>
      <c r="B58" t="s">
        <v>5</v>
      </c>
      <c r="C58" t="s">
        <v>6</v>
      </c>
      <c r="D58">
        <v>15.462999999999999</v>
      </c>
      <c r="E58" t="s">
        <v>7</v>
      </c>
      <c r="F58" t="s">
        <v>18</v>
      </c>
      <c r="G58" t="s">
        <v>9</v>
      </c>
      <c r="H58">
        <v>2</v>
      </c>
    </row>
    <row r="59" spans="1:8" x14ac:dyDescent="0.3">
      <c r="A59" s="1" t="s">
        <v>4</v>
      </c>
      <c r="B59" t="s">
        <v>5</v>
      </c>
      <c r="C59" t="s">
        <v>6</v>
      </c>
      <c r="D59">
        <v>-0.81838</v>
      </c>
      <c r="E59" t="s">
        <v>7</v>
      </c>
      <c r="F59" t="s">
        <v>18</v>
      </c>
      <c r="G59" t="s">
        <v>9</v>
      </c>
      <c r="H59">
        <v>2</v>
      </c>
    </row>
    <row r="60" spans="1:8" x14ac:dyDescent="0.3">
      <c r="A60" s="1" t="s">
        <v>10</v>
      </c>
      <c r="B60" t="s">
        <v>11</v>
      </c>
      <c r="C60" t="s">
        <v>12</v>
      </c>
      <c r="D60">
        <v>1.2665</v>
      </c>
      <c r="E60" t="s">
        <v>7</v>
      </c>
      <c r="F60" t="s">
        <v>18</v>
      </c>
      <c r="G60" t="s">
        <v>9</v>
      </c>
      <c r="H60">
        <v>2</v>
      </c>
    </row>
    <row r="61" spans="1:8" x14ac:dyDescent="0.3">
      <c r="A61" s="1" t="s">
        <v>13</v>
      </c>
      <c r="C61" t="s">
        <v>12</v>
      </c>
      <c r="D61" s="2">
        <v>-5.1179999999999998E-11</v>
      </c>
      <c r="E61" s="2" t="s">
        <v>7</v>
      </c>
      <c r="F61" t="s">
        <v>18</v>
      </c>
      <c r="G61" t="s">
        <v>9</v>
      </c>
      <c r="H61">
        <v>2</v>
      </c>
    </row>
    <row r="62" spans="1:8" x14ac:dyDescent="0.3">
      <c r="A62" s="1" t="s">
        <v>3</v>
      </c>
      <c r="B62" t="s">
        <v>5</v>
      </c>
      <c r="C62" t="s">
        <v>6</v>
      </c>
      <c r="D62">
        <v>6.8220000000000001</v>
      </c>
      <c r="E62" t="s">
        <v>7</v>
      </c>
      <c r="F62" t="s">
        <v>18</v>
      </c>
      <c r="G62" t="s">
        <v>9</v>
      </c>
      <c r="H62">
        <v>3</v>
      </c>
    </row>
    <row r="63" spans="1:8" x14ac:dyDescent="0.3">
      <c r="A63" s="1" t="s">
        <v>4</v>
      </c>
      <c r="B63" t="s">
        <v>5</v>
      </c>
      <c r="C63" t="s">
        <v>6</v>
      </c>
      <c r="D63">
        <v>1.6277999999999999</v>
      </c>
      <c r="E63" t="s">
        <v>7</v>
      </c>
      <c r="F63" t="s">
        <v>18</v>
      </c>
      <c r="G63" t="s">
        <v>9</v>
      </c>
      <c r="H63">
        <v>3</v>
      </c>
    </row>
    <row r="64" spans="1:8" x14ac:dyDescent="0.3">
      <c r="A64" s="1" t="s">
        <v>10</v>
      </c>
      <c r="B64" t="s">
        <v>11</v>
      </c>
      <c r="C64" t="s">
        <v>12</v>
      </c>
      <c r="D64">
        <v>0.13863</v>
      </c>
      <c r="E64" t="s">
        <v>7</v>
      </c>
      <c r="F64" t="s">
        <v>18</v>
      </c>
      <c r="G64" t="s">
        <v>9</v>
      </c>
      <c r="H64">
        <v>3</v>
      </c>
    </row>
    <row r="65" spans="1:8" x14ac:dyDescent="0.3">
      <c r="A65" s="1" t="s">
        <v>13</v>
      </c>
      <c r="C65" t="s">
        <v>12</v>
      </c>
      <c r="D65" s="2">
        <v>-1.0635E-10</v>
      </c>
      <c r="E65" s="2" t="s">
        <v>7</v>
      </c>
      <c r="F65" t="s">
        <v>18</v>
      </c>
      <c r="G65" t="s">
        <v>9</v>
      </c>
      <c r="H65">
        <v>3</v>
      </c>
    </row>
    <row r="66" spans="1:8" x14ac:dyDescent="0.3">
      <c r="A66" s="1" t="s">
        <v>3</v>
      </c>
      <c r="B66" t="s">
        <v>5</v>
      </c>
      <c r="C66" t="s">
        <v>6</v>
      </c>
      <c r="D66">
        <v>117.72</v>
      </c>
      <c r="E66" t="s">
        <v>7</v>
      </c>
      <c r="F66" t="s">
        <v>19</v>
      </c>
      <c r="G66" t="s">
        <v>9</v>
      </c>
      <c r="H66">
        <v>1</v>
      </c>
    </row>
    <row r="67" spans="1:8" x14ac:dyDescent="0.3">
      <c r="A67" s="1" t="s">
        <v>4</v>
      </c>
      <c r="B67" t="s">
        <v>5</v>
      </c>
      <c r="C67" t="s">
        <v>6</v>
      </c>
      <c r="D67">
        <v>1.8559000000000001</v>
      </c>
      <c r="E67" t="s">
        <v>7</v>
      </c>
      <c r="F67" t="s">
        <v>19</v>
      </c>
      <c r="G67" t="s">
        <v>9</v>
      </c>
      <c r="H67">
        <v>1</v>
      </c>
    </row>
    <row r="68" spans="1:8" x14ac:dyDescent="0.3">
      <c r="A68" s="1" t="s">
        <v>10</v>
      </c>
      <c r="B68" t="s">
        <v>11</v>
      </c>
      <c r="C68" t="s">
        <v>12</v>
      </c>
      <c r="D68">
        <v>34.816000000000003</v>
      </c>
      <c r="E68" t="s">
        <v>7</v>
      </c>
      <c r="F68" t="s">
        <v>19</v>
      </c>
      <c r="G68" t="s">
        <v>9</v>
      </c>
      <c r="H68">
        <v>1</v>
      </c>
    </row>
    <row r="69" spans="1:8" x14ac:dyDescent="0.3">
      <c r="A69" s="1" t="s">
        <v>13</v>
      </c>
      <c r="C69" t="s">
        <v>12</v>
      </c>
      <c r="D69" s="2">
        <v>1.5963E-10</v>
      </c>
      <c r="E69" s="2" t="s">
        <v>7</v>
      </c>
      <c r="F69" t="s">
        <v>19</v>
      </c>
      <c r="G69" t="s">
        <v>9</v>
      </c>
      <c r="H69">
        <v>1</v>
      </c>
    </row>
    <row r="70" spans="1:8" x14ac:dyDescent="0.3">
      <c r="A70" s="1" t="s">
        <v>3</v>
      </c>
      <c r="B70" t="s">
        <v>5</v>
      </c>
      <c r="C70" t="s">
        <v>6</v>
      </c>
      <c r="D70">
        <v>117.72</v>
      </c>
      <c r="E70" t="s">
        <v>7</v>
      </c>
      <c r="F70" t="s">
        <v>19</v>
      </c>
      <c r="G70" t="s">
        <v>9</v>
      </c>
      <c r="H70">
        <v>2</v>
      </c>
    </row>
    <row r="71" spans="1:8" x14ac:dyDescent="0.3">
      <c r="A71" s="1" t="s">
        <v>4</v>
      </c>
      <c r="B71" t="s">
        <v>5</v>
      </c>
      <c r="C71" t="s">
        <v>6</v>
      </c>
      <c r="D71">
        <v>-1.8559000000000001</v>
      </c>
      <c r="E71" t="s">
        <v>7</v>
      </c>
      <c r="F71" t="s">
        <v>19</v>
      </c>
      <c r="G71" t="s">
        <v>9</v>
      </c>
      <c r="H71">
        <v>2</v>
      </c>
    </row>
    <row r="72" spans="1:8" x14ac:dyDescent="0.3">
      <c r="A72" s="1" t="s">
        <v>10</v>
      </c>
      <c r="B72" t="s">
        <v>11</v>
      </c>
      <c r="C72" t="s">
        <v>12</v>
      </c>
      <c r="D72">
        <v>94.768000000000001</v>
      </c>
      <c r="E72" t="s">
        <v>7</v>
      </c>
      <c r="F72" t="s">
        <v>19</v>
      </c>
      <c r="G72" t="s">
        <v>9</v>
      </c>
      <c r="H72">
        <v>2</v>
      </c>
    </row>
    <row r="73" spans="1:8" x14ac:dyDescent="0.3">
      <c r="A73" s="1" t="s">
        <v>13</v>
      </c>
      <c r="C73" t="s">
        <v>12</v>
      </c>
      <c r="D73" s="2">
        <v>-1.7546E-12</v>
      </c>
      <c r="E73" s="2" t="s">
        <v>7</v>
      </c>
      <c r="F73" t="s">
        <v>19</v>
      </c>
      <c r="G73" t="s">
        <v>9</v>
      </c>
      <c r="H73">
        <v>2</v>
      </c>
    </row>
    <row r="74" spans="1:8" x14ac:dyDescent="0.3">
      <c r="A74" s="1"/>
    </row>
  </sheetData>
  <dataConsolidate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FBDFB1-896B-4783-A206-828033AB58E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Table4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Cano-avila, Andy</dc:creator>
  <cp:lastModifiedBy>Cano-avila, Andy</cp:lastModifiedBy>
  <dcterms:created xsi:type="dcterms:W3CDTF">2026-02-24T20:43:25Z</dcterms:created>
  <dcterms:modified xsi:type="dcterms:W3CDTF">2026-02-25T09:26:53Z</dcterms:modified>
</cp:coreProperties>
</file>